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ney\Desktop\"/>
    </mc:Choice>
  </mc:AlternateContent>
  <xr:revisionPtr revIDLastSave="0" documentId="8_{7CBA9B85-7B9A-4819-AFA6-B51C2478E8CB}" xr6:coauthVersionLast="44" xr6:coauthVersionMax="44" xr10:uidLastSave="{00000000-0000-0000-0000-000000000000}"/>
  <bookViews>
    <workbookView xWindow="825" yWindow="780" windowWidth="25710" windowHeight="12285" xr2:uid="{1543E3F9-AE6B-4AF1-8F76-43E33261446E}"/>
  </bookViews>
  <sheets>
    <sheet name="関数で簡単言語処理" sheetId="3" r:id="rId1"/>
    <sheet name="jsonから情報抽出する例" sheetId="1" r:id="rId2"/>
  </sheets>
  <functionGroups builtInGroupCount="19"/>
  <definedNames>
    <definedName name="_xlnm.Print_Area" localSheetId="1">jsonから情報抽出する例!$A$1:$N$12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3" l="1"/>
  <c r="B13" i="3" s="1"/>
  <c r="B3" i="1"/>
  <c r="B27" i="1"/>
  <c r="B30" i="1"/>
  <c r="B9" i="1"/>
  <c r="B18" i="1"/>
  <c r="B6" i="1"/>
  <c r="B33" i="1"/>
  <c r="B15" i="1"/>
  <c r="B21" i="1"/>
  <c r="B24" i="1"/>
  <c r="B12" i="1"/>
  <c r="B10" i="3"/>
  <c r="B8" i="3"/>
  <c r="B6" i="3"/>
  <c r="D12" i="1" l="1"/>
  <c r="D24" i="1"/>
  <c r="D25" i="1" s="1"/>
  <c r="D21" i="1"/>
  <c r="E21" i="1" s="1"/>
  <c r="D15" i="1"/>
  <c r="E15" i="1" s="1"/>
  <c r="D33" i="1"/>
  <c r="D6" i="1"/>
  <c r="D18" i="1"/>
  <c r="D9" i="1"/>
  <c r="D30" i="1"/>
  <c r="D31" i="1" s="1"/>
  <c r="D27" i="1"/>
  <c r="B36" i="1"/>
  <c r="D36" i="1" l="1"/>
  <c r="E36" i="1" s="1"/>
  <c r="E16" i="1"/>
  <c r="E22" i="1"/>
  <c r="E6" i="1"/>
  <c r="F6" i="1" s="1"/>
  <c r="D13" i="1"/>
  <c r="E30" i="1"/>
  <c r="D10" i="1"/>
  <c r="D16" i="1"/>
  <c r="F15" i="1"/>
  <c r="G15" i="1" s="1"/>
  <c r="D28" i="1"/>
  <c r="E18" i="1"/>
  <c r="F18" i="1" s="1"/>
  <c r="E9" i="1"/>
  <c r="F9" i="1" s="1"/>
  <c r="E27" i="1"/>
  <c r="D7" i="1"/>
  <c r="E24" i="1"/>
  <c r="D34" i="1"/>
  <c r="E12" i="1"/>
  <c r="F12" i="1" s="1"/>
  <c r="E33" i="1"/>
  <c r="D22" i="1"/>
  <c r="F21" i="1"/>
  <c r="D19" i="1"/>
  <c r="F10" i="1" l="1"/>
  <c r="F19" i="1"/>
  <c r="F13" i="1"/>
  <c r="G16" i="1"/>
  <c r="E7" i="1"/>
  <c r="G6" i="1"/>
  <c r="D37" i="1"/>
  <c r="F36" i="1"/>
  <c r="G36" i="1" s="1"/>
  <c r="F22" i="1"/>
  <c r="E28" i="1"/>
  <c r="G21" i="1"/>
  <c r="H21" i="1" s="1"/>
  <c r="H22" i="1" s="1"/>
  <c r="E37" i="1"/>
  <c r="E34" i="1"/>
  <c r="F30" i="1"/>
  <c r="G30" i="1" s="1"/>
  <c r="E31" i="1"/>
  <c r="E25" i="1"/>
  <c r="E19" i="1"/>
  <c r="G18" i="1"/>
  <c r="F33" i="1"/>
  <c r="F7" i="1"/>
  <c r="F27" i="1"/>
  <c r="F28" i="1" s="1"/>
  <c r="F16" i="1"/>
  <c r="H15" i="1"/>
  <c r="I15" i="1" s="1"/>
  <c r="G9" i="1"/>
  <c r="H9" i="1" s="1"/>
  <c r="E10" i="1"/>
  <c r="E13" i="1"/>
  <c r="G12" i="1"/>
  <c r="F24" i="1"/>
  <c r="G24" i="1" s="1"/>
  <c r="G27" i="1" l="1"/>
  <c r="H10" i="1"/>
  <c r="I16" i="1"/>
  <c r="G7" i="1"/>
  <c r="H24" i="1"/>
  <c r="I24" i="1" s="1"/>
  <c r="F25" i="1"/>
  <c r="G13" i="1"/>
  <c r="H30" i="1"/>
  <c r="I30" i="1" s="1"/>
  <c r="F31" i="1"/>
  <c r="H12" i="1"/>
  <c r="I12" i="1" s="1"/>
  <c r="G31" i="1"/>
  <c r="H6" i="1"/>
  <c r="H27" i="1"/>
  <c r="I27" i="1" s="1"/>
  <c r="G28" i="1"/>
  <c r="F34" i="1"/>
  <c r="G19" i="1"/>
  <c r="G33" i="1"/>
  <c r="H36" i="1"/>
  <c r="F37" i="1"/>
  <c r="H18" i="1"/>
  <c r="I18" i="1" s="1"/>
  <c r="H16" i="1"/>
  <c r="J15" i="1"/>
  <c r="G10" i="1"/>
  <c r="I9" i="1"/>
  <c r="G37" i="1"/>
  <c r="I36" i="1"/>
  <c r="I37" i="1" s="1"/>
  <c r="G25" i="1"/>
  <c r="G22" i="1"/>
  <c r="I21" i="1"/>
  <c r="I31" i="1" l="1"/>
  <c r="I19" i="1"/>
  <c r="G34" i="1"/>
  <c r="H7" i="1"/>
  <c r="I10" i="1"/>
  <c r="J24" i="1"/>
  <c r="H25" i="1"/>
  <c r="J21" i="1"/>
  <c r="K21" i="1" s="1"/>
  <c r="I22" i="1"/>
  <c r="J16" i="1"/>
  <c r="H13" i="1"/>
  <c r="J12" i="1"/>
  <c r="K12" i="1" s="1"/>
  <c r="I6" i="1"/>
  <c r="J6" i="1" s="1"/>
  <c r="H33" i="1"/>
  <c r="K15" i="1"/>
  <c r="J18" i="1"/>
  <c r="K18" i="1" s="1"/>
  <c r="H19" i="1"/>
  <c r="J30" i="1"/>
  <c r="H31" i="1"/>
  <c r="I28" i="1"/>
  <c r="I13" i="1"/>
  <c r="K24" i="1"/>
  <c r="I25" i="1"/>
  <c r="H37" i="1"/>
  <c r="J36" i="1"/>
  <c r="J27" i="1"/>
  <c r="H28" i="1"/>
  <c r="J9" i="1"/>
  <c r="K13" i="1" l="1"/>
  <c r="J7" i="1"/>
  <c r="K19" i="1"/>
  <c r="K16" i="1"/>
  <c r="K22" i="1"/>
  <c r="K25" i="1"/>
  <c r="J10" i="1"/>
  <c r="H34" i="1"/>
  <c r="J22" i="1"/>
  <c r="L21" i="1"/>
  <c r="L22" i="1" s="1"/>
  <c r="I33" i="1"/>
  <c r="J33" i="1" s="1"/>
  <c r="I7" i="1"/>
  <c r="K6" i="1"/>
  <c r="J13" i="1"/>
  <c r="L12" i="1"/>
  <c r="L13" i="1" s="1"/>
  <c r="L24" i="1"/>
  <c r="L25" i="1" s="1"/>
  <c r="J25" i="1"/>
  <c r="L18" i="1"/>
  <c r="L19" i="1" s="1"/>
  <c r="J19" i="1"/>
  <c r="J28" i="1"/>
  <c r="K27" i="1"/>
  <c r="K9" i="1"/>
  <c r="L9" i="1" s="1"/>
  <c r="L10" i="1" s="1"/>
  <c r="K36" i="1"/>
  <c r="L36" i="1" s="1"/>
  <c r="L37" i="1" s="1"/>
  <c r="J37" i="1"/>
  <c r="J31" i="1"/>
  <c r="L15" i="1"/>
  <c r="L16" i="1" s="1"/>
  <c r="K30" i="1"/>
  <c r="M12" i="1" l="1"/>
  <c r="M13" i="1" s="1"/>
  <c r="K37" i="1"/>
  <c r="M36" i="1"/>
  <c r="M37" i="1" s="1"/>
  <c r="M15" i="1"/>
  <c r="M16" i="1" s="1"/>
  <c r="K31" i="1"/>
  <c r="K28" i="1"/>
  <c r="K10" i="1"/>
  <c r="M9" i="1"/>
  <c r="M10" i="1" s="1"/>
  <c r="J34" i="1"/>
  <c r="K7" i="1"/>
  <c r="M18" i="1"/>
  <c r="M19" i="1" s="1"/>
  <c r="L27" i="1"/>
  <c r="L28" i="1" s="1"/>
  <c r="M21" i="1"/>
  <c r="M22" i="1" s="1"/>
  <c r="L30" i="1"/>
  <c r="L31" i="1" s="1"/>
  <c r="K33" i="1"/>
  <c r="I34" i="1"/>
  <c r="M24" i="1"/>
  <c r="M25" i="1" s="1"/>
  <c r="L6" i="1"/>
  <c r="L7" i="1" s="1"/>
  <c r="K34" i="1" l="1"/>
  <c r="L33" i="1"/>
  <c r="L34" i="1" s="1"/>
  <c r="M27" i="1"/>
  <c r="M28" i="1" s="1"/>
  <c r="M6" i="1"/>
  <c r="M7" i="1" s="1"/>
  <c r="M30" i="1"/>
  <c r="M31" i="1" s="1"/>
  <c r="M33" i="1" l="1"/>
  <c r="M34" i="1" s="1"/>
</calcChain>
</file>

<file path=xl/sharedStrings.xml><?xml version="1.0" encoding="utf-8"?>
<sst xmlns="http://schemas.openxmlformats.org/spreadsheetml/2006/main" count="57" uniqueCount="43">
  <si>
    <t>access_token</t>
    <phoneticPr fontId="1"/>
  </si>
  <si>
    <t>clientId</t>
    <phoneticPr fontId="1"/>
  </si>
  <si>
    <t>clientSecret</t>
    <phoneticPr fontId="1"/>
  </si>
  <si>
    <t>"form"</t>
    <phoneticPr fontId="1"/>
  </si>
  <si>
    <t>たかしは昨日東京駅を利用した</t>
    <rPh sb="4" eb="6">
      <t>キノウ</t>
    </rPh>
    <rPh sb="6" eb="8">
      <t>トウキョウ</t>
    </rPh>
    <rPh sb="8" eb="9">
      <t>エキ</t>
    </rPh>
    <rPh sb="10" eb="12">
      <t>リヨウ</t>
    </rPh>
    <phoneticPr fontId="1"/>
  </si>
  <si>
    <t>↓keyが何文字目で出てきたか</t>
    <rPh sb="5" eb="9">
      <t>ナンモジメ</t>
    </rPh>
    <rPh sb="10" eb="11">
      <t>デ</t>
    </rPh>
    <phoneticPr fontId="1"/>
  </si>
  <si>
    <t>↓固有名詞抽出結果(json)</t>
    <rPh sb="1" eb="3">
      <t>コユウ</t>
    </rPh>
    <rPh sb="3" eb="5">
      <t>メイシ</t>
    </rPh>
    <rPh sb="5" eb="7">
      <t>チュウシュツ</t>
    </rPh>
    <rPh sb="7" eb="9">
      <t>ケッカ</t>
    </rPh>
    <phoneticPr fontId="1"/>
  </si>
  <si>
    <t>↓解析したい文</t>
    <rPh sb="1" eb="3">
      <t>カイセキ</t>
    </rPh>
    <rPh sb="6" eb="7">
      <t>ブン</t>
    </rPh>
    <phoneticPr fontId="1"/>
  </si>
  <si>
    <t>"class"</t>
    <phoneticPr fontId="1"/>
  </si>
  <si>
    <t>↓jsonから取り出すkey</t>
    <rPh sb="7" eb="8">
      <t>ト</t>
    </rPh>
    <rPh sb="9" eb="10">
      <t>ダ</t>
    </rPh>
    <phoneticPr fontId="1"/>
  </si>
  <si>
    <t>さとしは札幌に行った</t>
    <rPh sb="4" eb="6">
      <t>サッポロ</t>
    </rPh>
    <rPh sb="7" eb="8">
      <t>イ</t>
    </rPh>
    <phoneticPr fontId="1"/>
  </si>
  <si>
    <t>↓固有名詞抽出結果(カンマ区切り)</t>
    <rPh sb="1" eb="3">
      <t>コユウ</t>
    </rPh>
    <rPh sb="3" eb="5">
      <t>メイシ</t>
    </rPh>
    <rPh sb="5" eb="7">
      <t>チュウシュツ</t>
    </rPh>
    <rPh sb="7" eb="9">
      <t>ケッカ</t>
    </rPh>
    <rPh sb="13" eb="15">
      <t>クギ</t>
    </rPh>
    <phoneticPr fontId="1"/>
  </si>
  <si>
    <t>↓キーワード抽出結果(json)</t>
    <rPh sb="6" eb="8">
      <t>チュウシュツ</t>
    </rPh>
    <rPh sb="8" eb="10">
      <t>ケッカ</t>
    </rPh>
    <phoneticPr fontId="1"/>
  </si>
  <si>
    <t>↓キーワード抽出結果(カンマ区切り)</t>
    <rPh sb="6" eb="8">
      <t>チュウシュツ</t>
    </rPh>
    <rPh sb="8" eb="10">
      <t>ケッカ</t>
    </rPh>
    <rPh sb="14" eb="16">
      <t>クギ</t>
    </rPh>
    <phoneticPr fontId="1"/>
  </si>
  <si>
    <t>↓固有表現抽出から固有名詞のクラスを抽出 (extended_classとかも取り出すとより詳しくできる)</t>
    <rPh sb="1" eb="3">
      <t>コユウ</t>
    </rPh>
    <rPh sb="3" eb="5">
      <t>ヒョウゲン</t>
    </rPh>
    <rPh sb="5" eb="7">
      <t>チュウシュツ</t>
    </rPh>
    <rPh sb="9" eb="11">
      <t>コユウ</t>
    </rPh>
    <rPh sb="11" eb="13">
      <t>メイシ</t>
    </rPh>
    <rPh sb="18" eb="20">
      <t>チュウシュツ</t>
    </rPh>
    <rPh sb="39" eb="40">
      <t>ト</t>
    </rPh>
    <rPh sb="41" eb="42">
      <t>ダ</t>
    </rPh>
    <rPh sb="46" eb="47">
      <t>クワ</t>
    </rPh>
    <phoneticPr fontId="1"/>
  </si>
  <si>
    <t>↓構文解析結果(json)</t>
    <rPh sb="1" eb="3">
      <t>コウブン</t>
    </rPh>
    <rPh sb="3" eb="5">
      <t>カイセキ</t>
    </rPh>
    <rPh sb="5" eb="7">
      <t>ケッカ</t>
    </rPh>
    <phoneticPr fontId="1"/>
  </si>
  <si>
    <t>たかしは昨日東京駅を利用した。彼はそこを大きいと思った。</t>
    <rPh sb="4" eb="6">
      <t>キノウ</t>
    </rPh>
    <rPh sb="6" eb="8">
      <t>トウキョウ</t>
    </rPh>
    <rPh sb="8" eb="9">
      <t>エキ</t>
    </rPh>
    <rPh sb="10" eb="12">
      <t>リヨウ</t>
    </rPh>
    <rPh sb="15" eb="16">
      <t>カレ</t>
    </rPh>
    <rPh sb="20" eb="21">
      <t>オオ</t>
    </rPh>
    <rPh sb="24" eb="25">
      <t>オモ</t>
    </rPh>
    <phoneticPr fontId="1"/>
  </si>
  <si>
    <t>↓照応解析結果(json)</t>
    <rPh sb="1" eb="3">
      <t>ショウオウ</t>
    </rPh>
    <rPh sb="3" eb="5">
      <t>カイセキ</t>
    </rPh>
    <rPh sb="5" eb="7">
      <t>ケッカ</t>
    </rPh>
    <phoneticPr fontId="1"/>
  </si>
  <si>
    <t>"score"</t>
    <phoneticPr fontId="1"/>
  </si>
  <si>
    <t>↓類似度算出結果(json)</t>
    <rPh sb="1" eb="3">
      <t>ルイジ</t>
    </rPh>
    <rPh sb="3" eb="4">
      <t>ド</t>
    </rPh>
    <rPh sb="4" eb="6">
      <t>サンシュツ</t>
    </rPh>
    <rPh sb="6" eb="8">
      <t>ケッカ</t>
    </rPh>
    <phoneticPr fontId="1"/>
  </si>
  <si>
    <t>たかしは東京を経由した</t>
    <rPh sb="4" eb="6">
      <t>トウキョウ</t>
    </rPh>
    <rPh sb="7" eb="9">
      <t>ケイユ</t>
    </rPh>
    <phoneticPr fontId="1"/>
  </si>
  <si>
    <t>"dialog_act"</t>
    <phoneticPr fontId="1"/>
  </si>
  <si>
    <t>たかしは東京駅を利用しろ</t>
    <rPh sb="4" eb="6">
      <t>トウキョウ</t>
    </rPh>
    <rPh sb="6" eb="7">
      <t>エキ</t>
    </rPh>
    <rPh sb="8" eb="10">
      <t>リヨウ</t>
    </rPh>
    <phoneticPr fontId="1"/>
  </si>
  <si>
    <t>↓文タイプ判定結果(json)</t>
    <rPh sb="1" eb="2">
      <t>ブン</t>
    </rPh>
    <rPh sb="5" eb="7">
      <t>ハンテイ</t>
    </rPh>
    <rPh sb="7" eb="9">
      <t>ケッカ</t>
    </rPh>
    <phoneticPr fontId="1"/>
  </si>
  <si>
    <t>↓発話行為抜き出し</t>
    <rPh sb="1" eb="3">
      <t>ハツワ</t>
    </rPh>
    <rPh sb="3" eb="5">
      <t>コウイ</t>
    </rPh>
    <rPh sb="5" eb="6">
      <t>ヌ</t>
    </rPh>
    <rPh sb="7" eb="8">
      <t>ダ</t>
    </rPh>
    <phoneticPr fontId="1"/>
  </si>
  <si>
    <t>"sentiment"</t>
    <phoneticPr fontId="1"/>
  </si>
  <si>
    <t>↓感情分析結果抜き出し</t>
    <rPh sb="1" eb="3">
      <t>カンジョウ</t>
    </rPh>
    <rPh sb="3" eb="5">
      <t>ブンセキ</t>
    </rPh>
    <rPh sb="5" eb="7">
      <t>ケッカ</t>
    </rPh>
    <rPh sb="7" eb="8">
      <t>ヌ</t>
    </rPh>
    <rPh sb="9" eb="10">
      <t>ダ</t>
    </rPh>
    <phoneticPr fontId="1"/>
  </si>
  <si>
    <t>↓感情分析結果(json)</t>
    <rPh sb="1" eb="3">
      <t>カンジョウ</t>
    </rPh>
    <rPh sb="3" eb="5">
      <t>ブンセキ</t>
    </rPh>
    <rPh sb="5" eb="7">
      <t>ケッカ</t>
    </rPh>
    <phoneticPr fontId="1"/>
  </si>
  <si>
    <t>たかしは東京駅を利用できてすごく楽しかった。</t>
  </si>
  <si>
    <t>たかしは東京駅を利用できてすごく楽しかった。</t>
    <rPh sb="4" eb="6">
      <t>トウキョウ</t>
    </rPh>
    <rPh sb="6" eb="7">
      <t>エキ</t>
    </rPh>
    <rPh sb="8" eb="10">
      <t>リヨウ</t>
    </rPh>
    <rPh sb="16" eb="17">
      <t>タノ</t>
    </rPh>
    <phoneticPr fontId="1"/>
  </si>
  <si>
    <t>"kana"</t>
    <phoneticPr fontId="1"/>
  </si>
  <si>
    <t>↓"form"なら形態素解析結果、"kana"なら読み仮名</t>
    <rPh sb="9" eb="12">
      <t>ケイタイソ</t>
    </rPh>
    <rPh sb="12" eb="14">
      <t>カイセキ</t>
    </rPh>
    <rPh sb="14" eb="16">
      <t>ケッカ</t>
    </rPh>
    <rPh sb="25" eb="26">
      <t>ヨ</t>
    </rPh>
    <rPh sb="27" eb="29">
      <t>ガナ</t>
    </rPh>
    <phoneticPr fontId="1"/>
  </si>
  <si>
    <t>"age"</t>
    <phoneticPr fontId="1"/>
  </si>
  <si>
    <t>↓ユーザ属性推定(json)</t>
    <rPh sb="4" eb="6">
      <t>ゾクセイ</t>
    </rPh>
    <rPh sb="6" eb="8">
      <t>スイテイ</t>
    </rPh>
    <phoneticPr fontId="1"/>
  </si>
  <si>
    <t>今日も東京駅から電車を利用して田町の職場に行った。</t>
    <rPh sb="0" eb="2">
      <t>キョウ</t>
    </rPh>
    <rPh sb="3" eb="5">
      <t>トウキョウ</t>
    </rPh>
    <rPh sb="5" eb="6">
      <t>エキ</t>
    </rPh>
    <rPh sb="8" eb="10">
      <t>デンシャ</t>
    </rPh>
    <rPh sb="11" eb="13">
      <t>リヨウ</t>
    </rPh>
    <rPh sb="15" eb="17">
      <t>タマチ</t>
    </rPh>
    <rPh sb="18" eb="20">
      <t>ショクバ</t>
    </rPh>
    <rPh sb="21" eb="22">
      <t>イ</t>
    </rPh>
    <phoneticPr fontId="1"/>
  </si>
  <si>
    <t>えーっと、東京駅からあの、電車に乗りたいんですが、その、どこに行くとえー、よいですか</t>
    <rPh sb="5" eb="8">
      <t>トウキョウエキ</t>
    </rPh>
    <rPh sb="13" eb="15">
      <t>デンシャ</t>
    </rPh>
    <rPh sb="16" eb="17">
      <t>ノ</t>
    </rPh>
    <rPh sb="31" eb="32">
      <t>イ</t>
    </rPh>
    <phoneticPr fontId="1"/>
  </si>
  <si>
    <t>"fixed_sentence"</t>
    <phoneticPr fontId="1"/>
  </si>
  <si>
    <t>↓言い淀み除去(json)</t>
    <rPh sb="1" eb="2">
      <t>イ</t>
    </rPh>
    <rPh sb="3" eb="4">
      <t>ヨド</t>
    </rPh>
    <rPh sb="5" eb="7">
      <t>ジョキョ</t>
    </rPh>
    <phoneticPr fontId="1"/>
  </si>
  <si>
    <t>東京駅から特許電車に乗った</t>
    <rPh sb="0" eb="2">
      <t>トウキョウ</t>
    </rPh>
    <rPh sb="2" eb="3">
      <t>エキ</t>
    </rPh>
    <rPh sb="5" eb="7">
      <t>トッキョ</t>
    </rPh>
    <rPh sb="7" eb="9">
      <t>デンシャ</t>
    </rPh>
    <rPh sb="10" eb="11">
      <t>ノ</t>
    </rPh>
    <phoneticPr fontId="1"/>
  </si>
  <si>
    <t>↓音声認識誤り検知(json)</t>
    <rPh sb="1" eb="3">
      <t>オンセイ</t>
    </rPh>
    <rPh sb="3" eb="5">
      <t>ニンシキ</t>
    </rPh>
    <rPh sb="5" eb="6">
      <t>アヤマ</t>
    </rPh>
    <rPh sb="7" eb="9">
      <t>ケンチ</t>
    </rPh>
    <phoneticPr fontId="1"/>
  </si>
  <si>
    <t>↓特許が特急の誤りではないかとサジェストされている</t>
    <rPh sb="1" eb="3">
      <t>トッキョ</t>
    </rPh>
    <rPh sb="4" eb="6">
      <t>トッキュウ</t>
    </rPh>
    <rPh sb="7" eb="8">
      <t>アヤマ</t>
    </rPh>
    <phoneticPr fontId="1"/>
  </si>
  <si>
    <t>↓類似度算出結果</t>
    <rPh sb="1" eb="3">
      <t>ルイジ</t>
    </rPh>
    <rPh sb="3" eb="4">
      <t>ド</t>
    </rPh>
    <rPh sb="4" eb="6">
      <t>サンシュツ</t>
    </rPh>
    <rPh sb="6" eb="8">
      <t>ケッカ</t>
    </rPh>
    <phoneticPr fontId="1"/>
  </si>
  <si>
    <t>↓感情分析結果とセンチメントスコア</t>
    <rPh sb="1" eb="3">
      <t>カンジョウ</t>
    </rPh>
    <rPh sb="3" eb="5">
      <t>ブンセキ</t>
    </rPh>
    <rPh sb="5" eb="7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</si>
</sst>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11"/>
      <color theme="0" tint="-0.499984740745262"/>
      <name val="游ゴシック"/>
      <family val="2"/>
      <charset val="128"/>
      <scheme val="minor"/>
    </font>
    <font>
      <sz val="11"/>
      <color theme="0" tint="-0.499984740745262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4.3"/>
      <color rgb="FF00000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828282"/>
      </left>
      <right style="medium">
        <color rgb="FF828282"/>
      </right>
      <top style="medium">
        <color rgb="FF828282"/>
      </top>
      <bottom style="medium">
        <color rgb="FF828282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2" borderId="1" xfId="0" applyFill="1" applyBorder="1">
      <alignment vertical="center"/>
    </xf>
    <xf numFmtId="0" fontId="3" fillId="0" borderId="2" xfId="0" applyFont="1" applyFill="1" applyBorder="1">
      <alignment vertical="center"/>
    </xf>
    <xf numFmtId="0" fontId="4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3" borderId="4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left" vertical="center" wrapText="1" shrinkToFi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6" fillId="4" borderId="5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66674</xdr:rowOff>
    </xdr:from>
    <xdr:to>
      <xdr:col>15</xdr:col>
      <xdr:colOff>95250</xdr:colOff>
      <xdr:row>6</xdr:row>
      <xdr:rowOff>57149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1CDF6E1-FC50-4E51-A963-EFBB802BFADF}"/>
            </a:ext>
          </a:extLst>
        </xdr:cNvPr>
        <xdr:cNvSpPr/>
      </xdr:nvSpPr>
      <xdr:spPr>
        <a:xfrm>
          <a:off x="6429375" y="66674"/>
          <a:ext cx="8162925" cy="2124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簡単に言語処理をする例。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B1,B2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COTOHA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API</a:t>
          </a:r>
          <a:r>
            <a:rPr kumimoji="1" lang="ja-JP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Id,Secret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を記入すると実行できる。</a:t>
          </a:r>
          <a:endParaRPr kumimoji="1" lang="en-US" altLang="ja-JP" sz="1100"/>
        </a:p>
        <a:p>
          <a:pPr algn="l"/>
          <a:r>
            <a:rPr kumimoji="1" lang="en-US" altLang="ja-JP" sz="1100"/>
            <a:t>A</a:t>
          </a:r>
          <a:r>
            <a:rPr kumimoji="1" lang="ja-JP" altLang="en-US" sz="1100"/>
            <a:t>列に解析したい文、</a:t>
          </a:r>
          <a:r>
            <a:rPr kumimoji="1" lang="en-US" altLang="ja-JP" sz="1100"/>
            <a:t>B</a:t>
          </a:r>
          <a:r>
            <a:rPr kumimoji="1" lang="ja-JP" altLang="en-US" sz="1100"/>
            <a:t>列にて特定の情報を抽出する。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例えば固有名詞ならその単語のみ抜き出し。本来単語の持つ属性なども認識されているがそれは無視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※API</a:t>
          </a:r>
          <a:r>
            <a:rPr kumimoji="1" lang="ja-JP" altLang="en-US" sz="1100"/>
            <a:t>、文量によっては</a:t>
          </a:r>
          <a:r>
            <a:rPr kumimoji="1" lang="en-US" altLang="ja-JP" sz="1100"/>
            <a:t>ERROR (COTOHA API</a:t>
          </a:r>
          <a:r>
            <a:rPr kumimoji="1" lang="ja-JP" altLang="en-US" sz="1100"/>
            <a:t>のタイムアウト</a:t>
          </a:r>
          <a:r>
            <a:rPr kumimoji="1" lang="en-US" altLang="ja-JP" sz="1100"/>
            <a:t>)</a:t>
          </a:r>
          <a:r>
            <a:rPr kumimoji="1" lang="ja-JP" altLang="en-US" sz="1100"/>
            <a:t>になるので、</a:t>
          </a:r>
          <a:r>
            <a:rPr kumimoji="1" lang="en-US" altLang="ja-JP" sz="1100"/>
            <a:t>ERROR</a:t>
          </a:r>
          <a:r>
            <a:rPr kumimoji="1" lang="ja-JP" altLang="en-US" sz="1100"/>
            <a:t>になった部分は何回かやり直すと成功するかも</a:t>
          </a:r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簡単言語処理については、固有名詞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(easyCotohaNe)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、キーワード抽出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(easyCotohaKeyword)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類似度算出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altLang="ja-JP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easyCotohaSimilarity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、感情分析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(easyCotohaSentiment)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のみ可能</a:t>
          </a:r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その他ユーザ属性推定など複雑な言語処理については別シート参照。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1885951</xdr:colOff>
      <xdr:row>0</xdr:row>
      <xdr:rowOff>66674</xdr:rowOff>
    </xdr:from>
    <xdr:to>
      <xdr:col>13</xdr:col>
      <xdr:colOff>66676</xdr:colOff>
      <xdr:row>3</xdr:row>
      <xdr:rowOff>161924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62BACC5-0633-4D9C-BDC2-E1473A4B62D8}"/>
            </a:ext>
          </a:extLst>
        </xdr:cNvPr>
        <xdr:cNvSpPr/>
      </xdr:nvSpPr>
      <xdr:spPr>
        <a:xfrm>
          <a:off x="7267576" y="66674"/>
          <a:ext cx="8172450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より複雑な言語処理をする例。</a:t>
          </a:r>
          <a:r>
            <a:rPr kumimoji="1" lang="en-US" altLang="ja-JP" sz="1100"/>
            <a:t>B1,B2</a:t>
          </a:r>
          <a:r>
            <a:rPr kumimoji="1" lang="ja-JP" altLang="en-US" sz="1100"/>
            <a:t>に</a:t>
          </a:r>
          <a:r>
            <a:rPr kumimoji="1" lang="en-US" altLang="ja-JP" sz="1100"/>
            <a:t>COTOHA</a:t>
          </a:r>
          <a:r>
            <a:rPr kumimoji="1" lang="en-US" altLang="ja-JP" sz="1100" baseline="0"/>
            <a:t> API</a:t>
          </a:r>
          <a:r>
            <a:rPr kumimoji="1" lang="ja-JP" altLang="en-US" sz="1100" baseline="0"/>
            <a:t>の</a:t>
          </a:r>
          <a:r>
            <a:rPr kumimoji="1" lang="en-US" altLang="ja-JP" sz="1100"/>
            <a:t>Id,Secret</a:t>
          </a:r>
          <a:r>
            <a:rPr kumimoji="1" lang="ja-JP" altLang="en-US" sz="1100"/>
            <a:t>を記入すると実行できる。</a:t>
          </a:r>
          <a:endParaRPr kumimoji="1" lang="en-US" altLang="ja-JP" sz="1100"/>
        </a:p>
        <a:p>
          <a:pPr algn="l"/>
          <a:r>
            <a:rPr kumimoji="1" lang="ja-JP" altLang="en-US" sz="1100"/>
            <a:t>いったん</a:t>
          </a:r>
          <a:r>
            <a:rPr kumimoji="1" lang="en-US" altLang="ja-JP" sz="1100"/>
            <a:t>B</a:t>
          </a:r>
          <a:r>
            <a:rPr kumimoji="1" lang="ja-JP" altLang="en-US" sz="1100"/>
            <a:t>列にて</a:t>
          </a:r>
          <a:r>
            <a:rPr kumimoji="1" lang="en-US" altLang="ja-JP" sz="1100"/>
            <a:t>json</a:t>
          </a:r>
          <a:r>
            <a:rPr kumimoji="1" lang="ja-JP" altLang="en-US" sz="1100"/>
            <a:t>で情報を抽出し、その横で</a:t>
          </a:r>
          <a:r>
            <a:rPr kumimoji="1" lang="en-US" altLang="ja-JP" sz="1100"/>
            <a:t>Excel</a:t>
          </a:r>
          <a:r>
            <a:rPr kumimoji="1" lang="ja-JP" altLang="en-US" sz="1100"/>
            <a:t>の関数を使ってデータを抽出する。</a:t>
          </a:r>
          <a:endParaRPr kumimoji="1" lang="en-US" altLang="ja-JP" sz="1100"/>
        </a:p>
        <a:p>
          <a:pPr algn="l"/>
          <a:r>
            <a:rPr kumimoji="1" lang="en-US" altLang="ja-JP" sz="1100"/>
            <a:t>※API</a:t>
          </a:r>
          <a:r>
            <a:rPr kumimoji="1" lang="ja-JP" altLang="en-US" sz="1100"/>
            <a:t>、文量によっては</a:t>
          </a:r>
          <a:r>
            <a:rPr kumimoji="1" lang="en-US" altLang="ja-JP" sz="1100"/>
            <a:t>ERROR (COTOHA API</a:t>
          </a:r>
          <a:r>
            <a:rPr kumimoji="1" lang="ja-JP" altLang="en-US" sz="1100"/>
            <a:t>のタイムアウト</a:t>
          </a:r>
          <a:r>
            <a:rPr kumimoji="1" lang="en-US" altLang="ja-JP" sz="1100"/>
            <a:t>)</a:t>
          </a:r>
          <a:r>
            <a:rPr kumimoji="1" lang="ja-JP" altLang="en-US" sz="1100"/>
            <a:t>になるので、</a:t>
          </a:r>
          <a:r>
            <a:rPr kumimoji="1" lang="en-US" altLang="ja-JP" sz="1100"/>
            <a:t>ERROR</a:t>
          </a:r>
          <a:r>
            <a:rPr kumimoji="1" lang="ja-JP" altLang="en-US" sz="1100"/>
            <a:t>になった部分は何回かやり直すと成功するかも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4334-5CFC-4173-85AC-5A9B43F01308}">
  <sheetPr codeName="Sheet2"/>
  <dimension ref="A1:M13"/>
  <sheetViews>
    <sheetView tabSelected="1" workbookViewId="0">
      <selection activeCell="B2" sqref="B1:B2"/>
    </sheetView>
  </sheetViews>
  <sheetFormatPr defaultRowHeight="18.75" x14ac:dyDescent="0.4"/>
  <cols>
    <col min="1" max="1" width="32.375" customWidth="1"/>
    <col min="2" max="2" width="40.125" bestFit="1" customWidth="1"/>
    <col min="3" max="4" width="9.375" bestFit="1" customWidth="1"/>
  </cols>
  <sheetData>
    <row r="1" spans="1:13" ht="19.5" thickBot="1" x14ac:dyDescent="0.45">
      <c r="A1" s="4" t="s">
        <v>1</v>
      </c>
      <c r="B1" s="1"/>
    </row>
    <row r="2" spans="1:13" ht="23.25" thickBot="1" x14ac:dyDescent="0.45">
      <c r="A2" s="4" t="s">
        <v>2</v>
      </c>
      <c r="B2" s="24"/>
    </row>
    <row r="3" spans="1:13" x14ac:dyDescent="0.4">
      <c r="A3" s="4" t="s">
        <v>0</v>
      </c>
      <c r="B3" s="1" t="e">
        <f>getAccessToken(B1,B2)</f>
        <v>#VALUE!</v>
      </c>
    </row>
    <row r="5" spans="1:13" x14ac:dyDescent="0.4">
      <c r="A5" s="5" t="s">
        <v>7</v>
      </c>
      <c r="B5" s="6" t="s">
        <v>11</v>
      </c>
      <c r="C5" s="6"/>
      <c r="D5" s="6"/>
    </row>
    <row r="6" spans="1:13" ht="74.25" customHeight="1" x14ac:dyDescent="0.4">
      <c r="A6" s="8" t="s">
        <v>10</v>
      </c>
      <c r="B6" s="10" t="e">
        <f>easyCotohaNe(A6,$B$3)</f>
        <v>#VALUE!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 x14ac:dyDescent="0.4">
      <c r="B7" s="6" t="s">
        <v>13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ht="47.25" customHeight="1" x14ac:dyDescent="0.4">
      <c r="A8" s="8" t="s">
        <v>4</v>
      </c>
      <c r="B8" s="10" t="e">
        <f>easyCotohaKeyword(A8,$B$3)</f>
        <v>#VALUE!</v>
      </c>
      <c r="C8" s="9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x14ac:dyDescent="0.4">
      <c r="B9" s="6" t="s">
        <v>41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 ht="58.5" customHeight="1" x14ac:dyDescent="0.4">
      <c r="A10" s="8" t="s">
        <v>4</v>
      </c>
      <c r="B10" s="14" t="e">
        <f>easyCotohaSimilarity(A10,A11,$B$3)</f>
        <v>#VALUE!</v>
      </c>
      <c r="C10" s="9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ht="42" customHeight="1" x14ac:dyDescent="0.4">
      <c r="A11" s="11" t="s">
        <v>20</v>
      </c>
      <c r="B11" s="14"/>
    </row>
    <row r="12" spans="1:13" x14ac:dyDescent="0.4">
      <c r="B12" t="s">
        <v>42</v>
      </c>
    </row>
    <row r="13" spans="1:13" ht="36.75" customHeight="1" x14ac:dyDescent="0.4">
      <c r="A13" s="8" t="s">
        <v>28</v>
      </c>
      <c r="B13" s="10" t="e">
        <f>easyCotohaSentiment(A13,$B$3)</f>
        <v>#VALUE!</v>
      </c>
    </row>
  </sheetData>
  <mergeCells count="1">
    <mergeCell ref="B10:B1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C67-4E8F-4EC9-B6B1-D3312EB44893}">
  <sheetPr codeName="Sheet1"/>
  <dimension ref="A1:M37"/>
  <sheetViews>
    <sheetView zoomScale="110" zoomScaleNormal="110" workbookViewId="0">
      <selection activeCell="B6" sqref="B6:B7"/>
    </sheetView>
  </sheetViews>
  <sheetFormatPr defaultRowHeight="18.75" x14ac:dyDescent="0.4"/>
  <cols>
    <col min="1" max="1" width="26.625" customWidth="1"/>
    <col min="2" max="2" width="38.375" customWidth="1"/>
    <col min="3" max="3" width="21.625" customWidth="1"/>
    <col min="4" max="13" width="10.625" customWidth="1"/>
  </cols>
  <sheetData>
    <row r="1" spans="1:13" x14ac:dyDescent="0.4">
      <c r="A1" s="4" t="s">
        <v>1</v>
      </c>
      <c r="B1" s="1"/>
    </row>
    <row r="2" spans="1:13" x14ac:dyDescent="0.4">
      <c r="A2" s="4" t="s">
        <v>2</v>
      </c>
      <c r="B2" s="1"/>
    </row>
    <row r="3" spans="1:13" x14ac:dyDescent="0.4">
      <c r="A3" s="4" t="s">
        <v>0</v>
      </c>
      <c r="B3" s="1" t="e">
        <f>getAccessToken(B1,B2)</f>
        <v>#VALUE!</v>
      </c>
    </row>
    <row r="4" spans="1:13" x14ac:dyDescent="0.4">
      <c r="A4" s="2"/>
      <c r="B4" s="3"/>
    </row>
    <row r="5" spans="1:13" x14ac:dyDescent="0.4">
      <c r="A5" s="5" t="s">
        <v>7</v>
      </c>
      <c r="B5" s="6" t="s">
        <v>6</v>
      </c>
      <c r="C5" s="6" t="s">
        <v>9</v>
      </c>
      <c r="D5" s="6" t="s">
        <v>5</v>
      </c>
    </row>
    <row r="6" spans="1:13" ht="87" customHeight="1" x14ac:dyDescent="0.4">
      <c r="A6" s="15" t="s">
        <v>4</v>
      </c>
      <c r="B6" s="17" t="e">
        <f>cotohaNe(A6,$B$3)</f>
        <v>#VALUE!</v>
      </c>
      <c r="C6" s="19" t="s">
        <v>3</v>
      </c>
      <c r="D6" s="1" t="str">
        <f>IFERROR(FIND($C6, $B6,FIND($C6,$B6)),"" )</f>
        <v/>
      </c>
      <c r="E6" s="1" t="str">
        <f t="shared" ref="E6:M6" si="0">IF(C6&gt;0,IFERROR(FIND($C6, $B6,D6+1), ""),"")</f>
        <v/>
      </c>
      <c r="F6" s="1" t="str">
        <f t="shared" si="0"/>
        <v/>
      </c>
      <c r="G6" s="1" t="str">
        <f t="shared" si="0"/>
        <v/>
      </c>
      <c r="H6" s="1" t="str">
        <f t="shared" si="0"/>
        <v/>
      </c>
      <c r="I6" s="1" t="str">
        <f t="shared" si="0"/>
        <v/>
      </c>
      <c r="J6" s="1" t="str">
        <f t="shared" si="0"/>
        <v/>
      </c>
      <c r="K6" s="1" t="str">
        <f t="shared" si="0"/>
        <v/>
      </c>
      <c r="L6" s="1" t="str">
        <f t="shared" si="0"/>
        <v/>
      </c>
      <c r="M6" s="1" t="str">
        <f t="shared" si="0"/>
        <v/>
      </c>
    </row>
    <row r="7" spans="1:13" ht="62.25" customHeight="1" x14ac:dyDescent="0.4">
      <c r="A7" s="16"/>
      <c r="B7" s="18"/>
      <c r="C7" s="20"/>
      <c r="D7" s="7" t="str">
        <f>IFERROR(MID($B6,D6+ LEN($C6) +4,FIND(",",$B6,D6)-D6 - LEN($C6) -5  ), "")</f>
        <v/>
      </c>
      <c r="E7" s="7" t="str">
        <f>IFERROR(MID($B6,E6+ LEN($C6)+4,FIND(",",$B6,E6)-E6 - LEN($C6) -5 ), "")</f>
        <v/>
      </c>
      <c r="F7" s="7" t="str">
        <f t="shared" ref="F7:M7" si="1">IFERROR(MID($B6,F6+ LEN($C6)+4,FIND(",",$B6,F6)-F6 - LEN($C6) -5 ), "")</f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</row>
    <row r="8" spans="1:13" x14ac:dyDescent="0.4">
      <c r="B8" s="6" t="s">
        <v>14</v>
      </c>
    </row>
    <row r="9" spans="1:13" ht="90.75" customHeight="1" x14ac:dyDescent="0.4">
      <c r="A9" s="15" t="s">
        <v>4</v>
      </c>
      <c r="B9" s="22" t="e">
        <f>cotohaNe(A9,$B$3)</f>
        <v>#VALUE!</v>
      </c>
      <c r="C9" s="19" t="s">
        <v>8</v>
      </c>
      <c r="D9" s="1" t="str">
        <f>IFERROR(FIND($C9, $B9,FIND($C9,$B9)),"" )</f>
        <v/>
      </c>
      <c r="E9" s="1" t="str">
        <f t="shared" ref="E9:M9" si="2">IF(C9&gt;0,IFERROR(FIND($C9, $B9,D9+1), ""),"")</f>
        <v/>
      </c>
      <c r="F9" s="1" t="str">
        <f t="shared" si="2"/>
        <v/>
      </c>
      <c r="G9" s="1" t="str">
        <f t="shared" si="2"/>
        <v/>
      </c>
      <c r="H9" s="1" t="str">
        <f t="shared" si="2"/>
        <v/>
      </c>
      <c r="I9" s="1" t="str">
        <f t="shared" si="2"/>
        <v/>
      </c>
      <c r="J9" s="1" t="str">
        <f t="shared" si="2"/>
        <v/>
      </c>
      <c r="K9" s="1" t="str">
        <f t="shared" si="2"/>
        <v/>
      </c>
      <c r="L9" s="1" t="str">
        <f t="shared" si="2"/>
        <v/>
      </c>
      <c r="M9" s="1" t="str">
        <f t="shared" si="2"/>
        <v/>
      </c>
    </row>
    <row r="10" spans="1:13" ht="56.25" customHeight="1" x14ac:dyDescent="0.4">
      <c r="A10" s="16"/>
      <c r="B10" s="23"/>
      <c r="C10" s="20"/>
      <c r="D10" s="7" t="str">
        <f>IFERROR(MID($B9,D9+ LEN($C9)+4,FIND(",",$B9,D9)-D9 - LEN($C9) -5 ), "")</f>
        <v/>
      </c>
      <c r="E10" s="7" t="str">
        <f t="shared" ref="E10:M10" si="3">IFERROR(MID($B9,E9+ LEN($C9)+4,FIND(",",$B9,E9)-E9 - LEN($C9) -5 ), "")</f>
        <v/>
      </c>
      <c r="F10" s="7" t="str">
        <f t="shared" si="3"/>
        <v/>
      </c>
      <c r="G10" s="7" t="str">
        <f t="shared" si="3"/>
        <v/>
      </c>
      <c r="H10" s="7" t="str">
        <f t="shared" si="3"/>
        <v/>
      </c>
      <c r="I10" s="7" t="str">
        <f t="shared" si="3"/>
        <v/>
      </c>
      <c r="J10" s="7" t="str">
        <f t="shared" si="3"/>
        <v/>
      </c>
      <c r="K10" s="7" t="str">
        <f t="shared" si="3"/>
        <v/>
      </c>
      <c r="L10" s="7" t="str">
        <f t="shared" si="3"/>
        <v/>
      </c>
      <c r="M10" s="7" t="str">
        <f t="shared" si="3"/>
        <v/>
      </c>
    </row>
    <row r="11" spans="1:13" x14ac:dyDescent="0.4">
      <c r="B11" s="6" t="s">
        <v>12</v>
      </c>
    </row>
    <row r="12" spans="1:13" ht="64.5" customHeight="1" x14ac:dyDescent="0.4">
      <c r="A12" s="15" t="s">
        <v>4</v>
      </c>
      <c r="B12" s="21" t="e">
        <f>cotohaKeyword(A12,$B$3)</f>
        <v>#VALUE!</v>
      </c>
      <c r="C12" s="19" t="s">
        <v>3</v>
      </c>
      <c r="D12" s="1" t="str">
        <f>IFERROR(FIND($C12, $B12,FIND($C12,$B12)),"" )</f>
        <v/>
      </c>
      <c r="E12" s="1" t="str">
        <f t="shared" ref="E12" si="4">IF(C12&gt;0,IFERROR(FIND($C12, $B12,D12+1), ""),"")</f>
        <v/>
      </c>
      <c r="F12" s="1" t="str">
        <f t="shared" ref="F12" si="5">IF(D12&gt;0,IFERROR(FIND($C12, $B12,E12+1), ""),"")</f>
        <v/>
      </c>
      <c r="G12" s="1" t="str">
        <f t="shared" ref="G12" si="6">IF(E12&gt;0,IFERROR(FIND($C12, $B12,F12+1), ""),"")</f>
        <v/>
      </c>
      <c r="H12" s="1" t="str">
        <f t="shared" ref="H12" si="7">IF(F12&gt;0,IFERROR(FIND($C12, $B12,G12+1), ""),"")</f>
        <v/>
      </c>
      <c r="I12" s="1" t="str">
        <f t="shared" ref="I12" si="8">IF(G12&gt;0,IFERROR(FIND($C12, $B12,H12+1), ""),"")</f>
        <v/>
      </c>
      <c r="J12" s="1" t="str">
        <f t="shared" ref="J12" si="9">IF(H12&gt;0,IFERROR(FIND($C12, $B12,I12+1), ""),"")</f>
        <v/>
      </c>
      <c r="K12" s="1" t="str">
        <f t="shared" ref="K12" si="10">IF(I12&gt;0,IFERROR(FIND($C12, $B12,J12+1), ""),"")</f>
        <v/>
      </c>
      <c r="L12" s="1" t="str">
        <f t="shared" ref="L12" si="11">IF(J12&gt;0,IFERROR(FIND($C12, $B12,K12+1), ""),"")</f>
        <v/>
      </c>
      <c r="M12" s="1" t="str">
        <f t="shared" ref="M12" si="12">IF(K12&gt;0,IFERROR(FIND($C12, $B12,L12+1), ""),"")</f>
        <v/>
      </c>
    </row>
    <row r="13" spans="1:13" ht="72" customHeight="1" x14ac:dyDescent="0.4">
      <c r="A13" s="16"/>
      <c r="B13" s="21"/>
      <c r="C13" s="20"/>
      <c r="D13" s="7" t="str">
        <f>IFERROR(MID($B12,D12+ LEN($C12)+4,FIND(",",$B12,D12)-D12 - LEN($C12) -5 ), "")</f>
        <v/>
      </c>
      <c r="E13" s="7" t="str">
        <f t="shared" ref="E13:M13" si="13">IFERROR(MID($B12,E12+ LEN($C12)+4,FIND(",",$B12,E12)-E12 - LEN($C12) -5 ), "")</f>
        <v/>
      </c>
      <c r="F13" s="7" t="str">
        <f t="shared" si="13"/>
        <v/>
      </c>
      <c r="G13" s="7" t="str">
        <f t="shared" si="13"/>
        <v/>
      </c>
      <c r="H13" s="7" t="str">
        <f t="shared" si="13"/>
        <v/>
      </c>
      <c r="I13" s="7" t="str">
        <f t="shared" si="13"/>
        <v/>
      </c>
      <c r="J13" s="7" t="str">
        <f t="shared" si="13"/>
        <v/>
      </c>
      <c r="K13" s="7" t="str">
        <f t="shared" si="13"/>
        <v/>
      </c>
      <c r="L13" s="7" t="str">
        <f t="shared" si="13"/>
        <v/>
      </c>
      <c r="M13" s="7" t="str">
        <f t="shared" si="13"/>
        <v/>
      </c>
    </row>
    <row r="14" spans="1:13" x14ac:dyDescent="0.4">
      <c r="B14" s="6" t="s">
        <v>15</v>
      </c>
      <c r="C14" s="6" t="s">
        <v>31</v>
      </c>
    </row>
    <row r="15" spans="1:13" ht="64.5" customHeight="1" x14ac:dyDescent="0.4">
      <c r="A15" s="15" t="s">
        <v>4</v>
      </c>
      <c r="B15" s="21" t="e">
        <f>cotohaParse(A15,$B$3)</f>
        <v>#VALUE!</v>
      </c>
      <c r="C15" s="19" t="s">
        <v>30</v>
      </c>
      <c r="D15" s="1" t="str">
        <f>IFERROR(FIND($C15, $B15,FIND($C15,$B15)),"" )</f>
        <v/>
      </c>
      <c r="E15" s="1" t="str">
        <f t="shared" ref="E15" si="14">IF(C15&gt;0,IFERROR(FIND($C15, $B15,D15+1), ""),"")</f>
        <v/>
      </c>
      <c r="F15" s="1" t="str">
        <f t="shared" ref="F15" si="15">IF(D15&gt;0,IFERROR(FIND($C15, $B15,E15+1), ""),"")</f>
        <v/>
      </c>
      <c r="G15" s="1" t="str">
        <f t="shared" ref="G15" si="16">IF(E15&gt;0,IFERROR(FIND($C15, $B15,F15+1), ""),"")</f>
        <v/>
      </c>
      <c r="H15" s="1" t="str">
        <f t="shared" ref="H15" si="17">IF(F15&gt;0,IFERROR(FIND($C15, $B15,G15+1), ""),"")</f>
        <v/>
      </c>
      <c r="I15" s="1" t="str">
        <f t="shared" ref="I15" si="18">IF(G15&gt;0,IFERROR(FIND($C15, $B15,H15+1), ""),"")</f>
        <v/>
      </c>
      <c r="J15" s="1" t="str">
        <f t="shared" ref="J15" si="19">IF(H15&gt;0,IFERROR(FIND($C15, $B15,I15+1), ""),"")</f>
        <v/>
      </c>
      <c r="K15" s="1" t="str">
        <f t="shared" ref="K15" si="20">IF(I15&gt;0,IFERROR(FIND($C15, $B15,J15+1), ""),"")</f>
        <v/>
      </c>
      <c r="L15" s="1" t="str">
        <f t="shared" ref="L15" si="21">IF(J15&gt;0,IFERROR(FIND($C15, $B15,K15+1), ""),"")</f>
        <v/>
      </c>
      <c r="M15" s="1" t="str">
        <f t="shared" ref="M15" si="22">IF(K15&gt;0,IFERROR(FIND($C15, $B15,L15+1), ""),"")</f>
        <v/>
      </c>
    </row>
    <row r="16" spans="1:13" ht="72" customHeight="1" x14ac:dyDescent="0.4">
      <c r="A16" s="16"/>
      <c r="B16" s="21"/>
      <c r="C16" s="20"/>
      <c r="D16" s="7" t="str">
        <f>IFERROR(MID($B15,D15+ LEN($C15)+4,FIND(",",$B15,D15)-D15 - LEN($C15) -5 ), "")</f>
        <v/>
      </c>
      <c r="E16" s="7" t="str">
        <f t="shared" ref="E16:M16" si="23">IFERROR(MID($B15,E15+ LEN($C15)+4,FIND(",",$B15,E15)-E15 - LEN($C15) -5 ), "")</f>
        <v/>
      </c>
      <c r="F16" s="7" t="str">
        <f t="shared" si="23"/>
        <v/>
      </c>
      <c r="G16" s="7" t="str">
        <f t="shared" si="23"/>
        <v/>
      </c>
      <c r="H16" s="7" t="str">
        <f t="shared" si="23"/>
        <v/>
      </c>
      <c r="I16" s="7" t="str">
        <f t="shared" si="23"/>
        <v/>
      </c>
      <c r="J16" s="7" t="str">
        <f t="shared" si="23"/>
        <v/>
      </c>
      <c r="K16" s="7" t="str">
        <f t="shared" si="23"/>
        <v/>
      </c>
      <c r="L16" s="7" t="str">
        <f t="shared" si="23"/>
        <v/>
      </c>
      <c r="M16" s="7" t="str">
        <f t="shared" si="23"/>
        <v/>
      </c>
    </row>
    <row r="17" spans="1:13" x14ac:dyDescent="0.4">
      <c r="B17" s="6" t="s">
        <v>17</v>
      </c>
    </row>
    <row r="18" spans="1:13" ht="87" customHeight="1" x14ac:dyDescent="0.4">
      <c r="A18" s="15" t="s">
        <v>16</v>
      </c>
      <c r="B18" s="17" t="e">
        <f>cotohaCoreference(A18,$B$3)</f>
        <v>#VALUE!</v>
      </c>
      <c r="C18" s="19" t="s">
        <v>3</v>
      </c>
      <c r="D18" s="1" t="str">
        <f>IFERROR(FIND($C18, $B18,FIND($C18,$B18)),"" )</f>
        <v/>
      </c>
      <c r="E18" s="1" t="str">
        <f t="shared" ref="E18" si="24">IF(C18&gt;0,IFERROR(FIND($C18, $B18,D18+1), ""),"")</f>
        <v/>
      </c>
      <c r="F18" s="1" t="str">
        <f t="shared" ref="F18" si="25">IF(D18&gt;0,IFERROR(FIND($C18, $B18,E18+1), ""),"")</f>
        <v/>
      </c>
      <c r="G18" s="1" t="str">
        <f t="shared" ref="G18" si="26">IF(E18&gt;0,IFERROR(FIND($C18, $B18,F18+1), ""),"")</f>
        <v/>
      </c>
      <c r="H18" s="1" t="str">
        <f t="shared" ref="H18" si="27">IF(F18&gt;0,IFERROR(FIND($C18, $B18,G18+1), ""),"")</f>
        <v/>
      </c>
      <c r="I18" s="1" t="str">
        <f t="shared" ref="I18" si="28">IF(G18&gt;0,IFERROR(FIND($C18, $B18,H18+1), ""),"")</f>
        <v/>
      </c>
      <c r="J18" s="1" t="str">
        <f t="shared" ref="J18" si="29">IF(H18&gt;0,IFERROR(FIND($C18, $B18,I18+1), ""),"")</f>
        <v/>
      </c>
      <c r="K18" s="1" t="str">
        <f t="shared" ref="K18" si="30">IF(I18&gt;0,IFERROR(FIND($C18, $B18,J18+1), ""),"")</f>
        <v/>
      </c>
      <c r="L18" s="1" t="str">
        <f t="shared" ref="L18" si="31">IF(J18&gt;0,IFERROR(FIND($C18, $B18,K18+1), ""),"")</f>
        <v/>
      </c>
      <c r="M18" s="1" t="str">
        <f t="shared" ref="M18" si="32">IF(K18&gt;0,IFERROR(FIND($C18, $B18,L18+1), ""),"")</f>
        <v/>
      </c>
    </row>
    <row r="19" spans="1:13" ht="62.25" customHeight="1" x14ac:dyDescent="0.4">
      <c r="A19" s="16"/>
      <c r="B19" s="18"/>
      <c r="C19" s="20"/>
      <c r="D19" s="7" t="str">
        <f>IFERROR(MID($B18,D18+ LEN($C18)+2,FIND(",",$B18,D18)-D18 - LEN($C18) -4 ), "")</f>
        <v/>
      </c>
      <c r="E19" s="7" t="str">
        <f>IFERROR(MID($B18,E18+ LEN($C18)+2,FIND("}",$B18,E18)-E18 - LEN($C18) -3 ), "")</f>
        <v/>
      </c>
      <c r="F19" s="7" t="str">
        <f>IFERROR(MID($B18,F18+ LEN($C18)+2,FIND(",",$B18,F18)-F18 - LEN($C18) -4 ), "")</f>
        <v/>
      </c>
      <c r="G19" s="7" t="str">
        <f>IFERROR(MID($B18,G18+ LEN($C18)+2,FIND("}",$B18,G18)-G18 - LEN($C18) -3 ), "")</f>
        <v/>
      </c>
      <c r="H19" s="7" t="str">
        <f t="shared" ref="H19:M19" si="33">IFERROR(MID($B18,H18+ LEN($C18)+2,FIND(",",$B18,H18)-H18 - LEN($C18) -2 ), "")</f>
        <v/>
      </c>
      <c r="I19" s="7" t="str">
        <f t="shared" si="33"/>
        <v/>
      </c>
      <c r="J19" s="7" t="str">
        <f t="shared" si="33"/>
        <v/>
      </c>
      <c r="K19" s="7" t="str">
        <f t="shared" si="33"/>
        <v/>
      </c>
      <c r="L19" s="7" t="str">
        <f t="shared" si="33"/>
        <v/>
      </c>
      <c r="M19" s="7" t="str">
        <f t="shared" si="33"/>
        <v/>
      </c>
    </row>
    <row r="20" spans="1:13" x14ac:dyDescent="0.4">
      <c r="B20" s="6" t="s">
        <v>19</v>
      </c>
    </row>
    <row r="21" spans="1:13" ht="64.5" customHeight="1" x14ac:dyDescent="0.4">
      <c r="A21" s="12" t="s">
        <v>4</v>
      </c>
      <c r="B21" s="21" t="e">
        <f>cotohaSimilarity(A21,A22,$B$3)</f>
        <v>#VALUE!</v>
      </c>
      <c r="C21" s="19" t="s">
        <v>18</v>
      </c>
      <c r="D21" s="1" t="str">
        <f>IFERROR(FIND($C21, $B21,FIND($C21,$B21)),"" )</f>
        <v/>
      </c>
      <c r="E21" s="1" t="str">
        <f t="shared" ref="E21" si="34">IF(C21&gt;0,IFERROR(FIND($C21, $B21,D21+1), ""),"")</f>
        <v/>
      </c>
      <c r="F21" s="1" t="str">
        <f t="shared" ref="F21" si="35">IF(D21&gt;0,IFERROR(FIND($C21, $B21,E21+1), ""),"")</f>
        <v/>
      </c>
      <c r="G21" s="1" t="str">
        <f t="shared" ref="G21" si="36">IF(E21&gt;0,IFERROR(FIND($C21, $B21,F21+1), ""),"")</f>
        <v/>
      </c>
      <c r="H21" s="1" t="str">
        <f t="shared" ref="H21" si="37">IF(F21&gt;0,IFERROR(FIND($C21, $B21,G21+1), ""),"")</f>
        <v/>
      </c>
      <c r="I21" s="1" t="str">
        <f t="shared" ref="I21" si="38">IF(G21&gt;0,IFERROR(FIND($C21, $B21,H21+1), ""),"")</f>
        <v/>
      </c>
      <c r="J21" s="1" t="str">
        <f t="shared" ref="J21" si="39">IF(H21&gt;0,IFERROR(FIND($C21, $B21,I21+1), ""),"")</f>
        <v/>
      </c>
      <c r="K21" s="1" t="str">
        <f t="shared" ref="K21" si="40">IF(I21&gt;0,IFERROR(FIND($C21, $B21,J21+1), ""),"")</f>
        <v/>
      </c>
      <c r="L21" s="1" t="str">
        <f t="shared" ref="L21" si="41">IF(J21&gt;0,IFERROR(FIND($C21, $B21,K21+1), ""),"")</f>
        <v/>
      </c>
      <c r="M21" s="1" t="str">
        <f t="shared" ref="M21" si="42">IF(K21&gt;0,IFERROR(FIND($C21, $B21,L21+1), ""),"")</f>
        <v/>
      </c>
    </row>
    <row r="22" spans="1:13" ht="72" customHeight="1" x14ac:dyDescent="0.4">
      <c r="A22" s="11" t="s">
        <v>20</v>
      </c>
      <c r="B22" s="21"/>
      <c r="C22" s="20"/>
      <c r="D22" s="7" t="str">
        <f>IFERROR(MID($B21,D21+ LEN($C21)+2,FIND(",",$B21,D21)-D21 - LEN($C21) -2 ), "")</f>
        <v/>
      </c>
      <c r="E22" s="7" t="str">
        <f>IFERROR(MID($B21,E21+ LEN($C21)+2,FIND(",",$B21,E21)-E21 - LEN($C21) -2 ), "")</f>
        <v/>
      </c>
      <c r="F22" s="7" t="str">
        <f>IFERROR(MID($B21,F21+ LEN($C21)+2,FIND(",",$B21,F21)-F21 - LEN($C21) -2 ), "")</f>
        <v/>
      </c>
      <c r="G22" s="7" t="str">
        <f>IFERROR(MID($B21,G21+ LEN($C21)+2,FIND(",",$B21,G21)-G21 - LEN($C21) -2 ), "")</f>
        <v/>
      </c>
      <c r="H22" s="7" t="str">
        <f t="shared" ref="H22:M22" si="43">IFERROR(MID($B21,H21+ LEN($C21)+2,FIND(",",$B21,H21)-H21 - LEN($C21) -2 ), "")</f>
        <v/>
      </c>
      <c r="I22" s="7" t="str">
        <f t="shared" si="43"/>
        <v/>
      </c>
      <c r="J22" s="7" t="str">
        <f t="shared" si="43"/>
        <v/>
      </c>
      <c r="K22" s="7" t="str">
        <f t="shared" si="43"/>
        <v/>
      </c>
      <c r="L22" s="7" t="str">
        <f t="shared" si="43"/>
        <v/>
      </c>
      <c r="M22" s="7" t="str">
        <f t="shared" si="43"/>
        <v/>
      </c>
    </row>
    <row r="23" spans="1:13" x14ac:dyDescent="0.4">
      <c r="B23" s="6" t="s">
        <v>23</v>
      </c>
      <c r="C23" s="6" t="s">
        <v>24</v>
      </c>
    </row>
    <row r="24" spans="1:13" ht="87" customHeight="1" x14ac:dyDescent="0.4">
      <c r="A24" s="15" t="s">
        <v>22</v>
      </c>
      <c r="B24" s="17" t="e">
        <f>cotohaSentenceType(A24,$B$3)</f>
        <v>#VALUE!</v>
      </c>
      <c r="C24" s="19" t="s">
        <v>21</v>
      </c>
      <c r="D24" s="1" t="str">
        <f>IFERROR(FIND($C24, $B24,FIND($C24,$B24)),"" )</f>
        <v/>
      </c>
      <c r="E24" s="1" t="str">
        <f t="shared" ref="E24" si="44">IF(C24&gt;0,IFERROR(FIND($C24, $B24,D24+1), ""),"")</f>
        <v/>
      </c>
      <c r="F24" s="1" t="str">
        <f t="shared" ref="F24" si="45">IF(D24&gt;0,IFERROR(FIND($C24, $B24,E24+1), ""),"")</f>
        <v/>
      </c>
      <c r="G24" s="1" t="str">
        <f t="shared" ref="G24" si="46">IF(E24&gt;0,IFERROR(FIND($C24, $B24,F24+1), ""),"")</f>
        <v/>
      </c>
      <c r="H24" s="1" t="str">
        <f t="shared" ref="H24" si="47">IF(F24&gt;0,IFERROR(FIND($C24, $B24,G24+1), ""),"")</f>
        <v/>
      </c>
      <c r="I24" s="1" t="str">
        <f t="shared" ref="I24" si="48">IF(G24&gt;0,IFERROR(FIND($C24, $B24,H24+1), ""),"")</f>
        <v/>
      </c>
      <c r="J24" s="1" t="str">
        <f t="shared" ref="J24" si="49">IF(H24&gt;0,IFERROR(FIND($C24, $B24,I24+1), ""),"")</f>
        <v/>
      </c>
      <c r="K24" s="1" t="str">
        <f t="shared" ref="K24" si="50">IF(I24&gt;0,IFERROR(FIND($C24, $B24,J24+1), ""),"")</f>
        <v/>
      </c>
      <c r="L24" s="1" t="str">
        <f t="shared" ref="L24" si="51">IF(J24&gt;0,IFERROR(FIND($C24, $B24,K24+1), ""),"")</f>
        <v/>
      </c>
      <c r="M24" s="1" t="str">
        <f t="shared" ref="M24" si="52">IF(K24&gt;0,IFERROR(FIND($C24, $B24,L24+1), ""),"")</f>
        <v/>
      </c>
    </row>
    <row r="25" spans="1:13" ht="62.25" customHeight="1" x14ac:dyDescent="0.4">
      <c r="A25" s="16"/>
      <c r="B25" s="18"/>
      <c r="C25" s="20"/>
      <c r="D25" s="13" t="str">
        <f>IFERROR(MID($B24,D24+ LEN($C24)+6,FIND("]",$B24,D24)-D24 - LEN($C24) -8 ), "")</f>
        <v/>
      </c>
      <c r="E25" s="7" t="str">
        <f>IFERROR(MID($B24,E24+ LEN($C24)+2,FIND(",",$B24,E24)-E24 - LEN($C24) -2 ), "")</f>
        <v/>
      </c>
      <c r="F25" s="7" t="str">
        <f>IFERROR(MID($B24,F24+ LEN($C24)+2,FIND(",",$B24,F24)-F24 - LEN($C24) -2 ), "")</f>
        <v/>
      </c>
      <c r="G25" s="7" t="str">
        <f>IFERROR(MID($B24,G24+ LEN($C24)+2,FIND(",",$B24,G24)-G24 - LEN($C24) -2 ), "")</f>
        <v/>
      </c>
      <c r="H25" s="7" t="str">
        <f t="shared" ref="H25:M25" si="53">IFERROR(MID($B24,H24+ LEN($C24)+2,FIND(",",$B24,H24)-H24 - LEN($C24) -2 ), "")</f>
        <v/>
      </c>
      <c r="I25" s="7" t="str">
        <f t="shared" si="53"/>
        <v/>
      </c>
      <c r="J25" s="7" t="str">
        <f t="shared" si="53"/>
        <v/>
      </c>
      <c r="K25" s="7" t="str">
        <f t="shared" si="53"/>
        <v/>
      </c>
      <c r="L25" s="7" t="str">
        <f t="shared" si="53"/>
        <v/>
      </c>
      <c r="M25" s="7" t="str">
        <f t="shared" si="53"/>
        <v/>
      </c>
    </row>
    <row r="26" spans="1:13" x14ac:dyDescent="0.4">
      <c r="B26" s="6" t="s">
        <v>27</v>
      </c>
      <c r="C26" s="6" t="s">
        <v>26</v>
      </c>
    </row>
    <row r="27" spans="1:13" ht="87" customHeight="1" x14ac:dyDescent="0.4">
      <c r="A27" s="15" t="s">
        <v>29</v>
      </c>
      <c r="B27" s="17" t="e">
        <f>cotohaSentiment(A27,$B$3)</f>
        <v>#VALUE!</v>
      </c>
      <c r="C27" s="19" t="s">
        <v>25</v>
      </c>
      <c r="D27" s="1" t="str">
        <f>IFERROR(FIND($C27, $B27,FIND($C27,$B27)),"" )</f>
        <v/>
      </c>
      <c r="E27" s="1" t="str">
        <f t="shared" ref="E27" si="54">IF(C27&gt;0,IFERROR(FIND($C27, $B27,D27+1), ""),"")</f>
        <v/>
      </c>
      <c r="F27" s="1" t="str">
        <f t="shared" ref="F27" si="55">IF(D27&gt;0,IFERROR(FIND($C27, $B27,E27+1), ""),"")</f>
        <v/>
      </c>
      <c r="G27" s="1" t="str">
        <f t="shared" ref="G27" si="56">IF(E27&gt;0,IFERROR(FIND($C27, $B27,F27+1), ""),"")</f>
        <v/>
      </c>
      <c r="H27" s="1" t="str">
        <f t="shared" ref="H27" si="57">IF(F27&gt;0,IFERROR(FIND($C27, $B27,G27+1), ""),"")</f>
        <v/>
      </c>
      <c r="I27" s="1" t="str">
        <f t="shared" ref="I27" si="58">IF(G27&gt;0,IFERROR(FIND($C27, $B27,H27+1), ""),"")</f>
        <v/>
      </c>
      <c r="J27" s="1" t="str">
        <f t="shared" ref="J27" si="59">IF(H27&gt;0,IFERROR(FIND($C27, $B27,I27+1), ""),"")</f>
        <v/>
      </c>
      <c r="K27" s="1" t="str">
        <f t="shared" ref="K27" si="60">IF(I27&gt;0,IFERROR(FIND($C27, $B27,J27+1), ""),"")</f>
        <v/>
      </c>
      <c r="L27" s="1" t="str">
        <f t="shared" ref="L27" si="61">IF(J27&gt;0,IFERROR(FIND($C27, $B27,K27+1), ""),"")</f>
        <v/>
      </c>
      <c r="M27" s="1" t="str">
        <f t="shared" ref="M27" si="62">IF(K27&gt;0,IFERROR(FIND($C27, $B27,L27+1), ""),"")</f>
        <v/>
      </c>
    </row>
    <row r="28" spans="1:13" ht="62.25" customHeight="1" x14ac:dyDescent="0.4">
      <c r="A28" s="16"/>
      <c r="B28" s="18"/>
      <c r="C28" s="20"/>
      <c r="D28" s="13" t="str">
        <f>IFERROR(MID($B27,D27+ LEN($C27)+2,FIND(",",$B27,D27)-D27 - LEN($C27) -3 ), "")</f>
        <v/>
      </c>
      <c r="E28" s="7" t="str">
        <f>IFERROR(MID($B27,E27+ LEN($C27)+2,FIND(",",$B27,E27)-E27 - LEN($C27) -2 ), "")</f>
        <v/>
      </c>
      <c r="F28" s="7" t="str">
        <f>IFERROR(MID($B27,F27+ LEN($C27)+2,FIND(",",$B27,F27)-F27 - LEN($C27) -2 ), "")</f>
        <v/>
      </c>
      <c r="G28" s="7" t="str">
        <f>IFERROR(MID($B27,G27+ LEN($C27)+2,FIND(",",$B27,G27)-G27 - LEN($C27) -2 ), "")</f>
        <v/>
      </c>
      <c r="H28" s="7" t="str">
        <f t="shared" ref="H28:M28" si="63">IFERROR(MID($B27,H27+ LEN($C27)+2,FIND(",",$B27,H27)-H27 - LEN($C27) -2 ), "")</f>
        <v/>
      </c>
      <c r="I28" s="7" t="str">
        <f t="shared" si="63"/>
        <v/>
      </c>
      <c r="J28" s="7" t="str">
        <f t="shared" si="63"/>
        <v/>
      </c>
      <c r="K28" s="7" t="str">
        <f t="shared" si="63"/>
        <v/>
      </c>
      <c r="L28" s="7" t="str">
        <f t="shared" si="63"/>
        <v/>
      </c>
      <c r="M28" s="7" t="str">
        <f t="shared" si="63"/>
        <v/>
      </c>
    </row>
    <row r="29" spans="1:13" x14ac:dyDescent="0.4">
      <c r="B29" s="6" t="s">
        <v>33</v>
      </c>
    </row>
    <row r="30" spans="1:13" ht="87" customHeight="1" x14ac:dyDescent="0.4">
      <c r="A30" s="15" t="s">
        <v>34</v>
      </c>
      <c r="B30" s="17" t="e">
        <f>cotohaUserAttribute(A30,$B$3)</f>
        <v>#VALUE!</v>
      </c>
      <c r="C30" s="19" t="s">
        <v>32</v>
      </c>
      <c r="D30" s="1" t="str">
        <f>IFERROR(FIND($C30, $B30,FIND($C30,$B30)),"" )</f>
        <v/>
      </c>
      <c r="E30" s="1" t="str">
        <f t="shared" ref="E30" si="64">IF(C30&gt;0,IFERROR(FIND($C30, $B30,D30+1), ""),"")</f>
        <v/>
      </c>
      <c r="F30" s="1" t="str">
        <f t="shared" ref="F30" si="65">IF(D30&gt;0,IFERROR(FIND($C30, $B30,E30+1), ""),"")</f>
        <v/>
      </c>
      <c r="G30" s="1" t="str">
        <f t="shared" ref="G30" si="66">IF(E30&gt;0,IFERROR(FIND($C30, $B30,F30+1), ""),"")</f>
        <v/>
      </c>
      <c r="H30" s="1" t="str">
        <f t="shared" ref="H30" si="67">IF(F30&gt;0,IFERROR(FIND($C30, $B30,G30+1), ""),"")</f>
        <v/>
      </c>
      <c r="I30" s="1" t="str">
        <f t="shared" ref="I30" si="68">IF(G30&gt;0,IFERROR(FIND($C30, $B30,H30+1), ""),"")</f>
        <v/>
      </c>
      <c r="J30" s="1" t="str">
        <f t="shared" ref="J30" si="69">IF(H30&gt;0,IFERROR(FIND($C30, $B30,I30+1), ""),"")</f>
        <v/>
      </c>
      <c r="K30" s="1" t="str">
        <f t="shared" ref="K30" si="70">IF(I30&gt;0,IFERROR(FIND($C30, $B30,J30+1), ""),"")</f>
        <v/>
      </c>
      <c r="L30" s="1" t="str">
        <f t="shared" ref="L30" si="71">IF(J30&gt;0,IFERROR(FIND($C30, $B30,K30+1), ""),"")</f>
        <v/>
      </c>
      <c r="M30" s="1" t="str">
        <f t="shared" ref="M30" si="72">IF(K30&gt;0,IFERROR(FIND($C30, $B30,L30+1), ""),"")</f>
        <v/>
      </c>
    </row>
    <row r="31" spans="1:13" ht="62.25" customHeight="1" x14ac:dyDescent="0.4">
      <c r="A31" s="16"/>
      <c r="B31" s="18"/>
      <c r="C31" s="20"/>
      <c r="D31" s="13" t="str">
        <f>IFERROR(MID($B30,D30+ LEN($C30)+4,FIND(",",$B30,D30)-D30 - LEN($C30) -5 ), "")</f>
        <v/>
      </c>
      <c r="E31" s="7" t="str">
        <f>IFERROR(MID($B30,E30+ LEN($C30)+2,FIND(",",$B30,E30)-E30 - LEN($C30) -2 ), "")</f>
        <v/>
      </c>
      <c r="F31" s="7" t="str">
        <f>IFERROR(MID($B30,F30+ LEN($C30)+2,FIND(",",$B30,F30)-F30 - LEN($C30) -2 ), "")</f>
        <v/>
      </c>
      <c r="G31" s="7" t="str">
        <f>IFERROR(MID($B30,G30+ LEN($C30)+2,FIND(",",$B30,G30)-G30 - LEN($C30) -2 ), "")</f>
        <v/>
      </c>
      <c r="H31" s="7" t="str">
        <f t="shared" ref="H31:M31" si="73">IFERROR(MID($B30,H30+ LEN($C30)+2,FIND(",",$B30,H30)-H30 - LEN($C30) -2 ), "")</f>
        <v/>
      </c>
      <c r="I31" s="7" t="str">
        <f t="shared" si="73"/>
        <v/>
      </c>
      <c r="J31" s="7" t="str">
        <f t="shared" si="73"/>
        <v/>
      </c>
      <c r="K31" s="7" t="str">
        <f t="shared" si="73"/>
        <v/>
      </c>
      <c r="L31" s="7" t="str">
        <f t="shared" si="73"/>
        <v/>
      </c>
      <c r="M31" s="7" t="str">
        <f t="shared" si="73"/>
        <v/>
      </c>
    </row>
    <row r="32" spans="1:13" x14ac:dyDescent="0.4">
      <c r="B32" s="6" t="s">
        <v>37</v>
      </c>
    </row>
    <row r="33" spans="1:13" ht="87" customHeight="1" x14ac:dyDescent="0.4">
      <c r="A33" s="15" t="s">
        <v>35</v>
      </c>
      <c r="B33" s="17" t="e">
        <f>cotohaRemoveFiller(A33,$B$3)</f>
        <v>#VALUE!</v>
      </c>
      <c r="C33" s="19" t="s">
        <v>36</v>
      </c>
      <c r="D33" s="1" t="str">
        <f>IFERROR(FIND($C33, $B33,FIND($C33,$B33)),"" )</f>
        <v/>
      </c>
      <c r="E33" s="1" t="str">
        <f t="shared" ref="E33" si="74">IF(C33&gt;0,IFERROR(FIND($C33, $B33,D33+1), ""),"")</f>
        <v/>
      </c>
      <c r="F33" s="1" t="str">
        <f t="shared" ref="F33" si="75">IF(D33&gt;0,IFERROR(FIND($C33, $B33,E33+1), ""),"")</f>
        <v/>
      </c>
      <c r="G33" s="1" t="str">
        <f t="shared" ref="G33" si="76">IF(E33&gt;0,IFERROR(FIND($C33, $B33,F33+1), ""),"")</f>
        <v/>
      </c>
      <c r="H33" s="1" t="str">
        <f t="shared" ref="H33" si="77">IF(F33&gt;0,IFERROR(FIND($C33, $B33,G33+1), ""),"")</f>
        <v/>
      </c>
      <c r="I33" s="1" t="str">
        <f t="shared" ref="I33" si="78">IF(G33&gt;0,IFERROR(FIND($C33, $B33,H33+1), ""),"")</f>
        <v/>
      </c>
      <c r="J33" s="1" t="str">
        <f t="shared" ref="J33" si="79">IF(H33&gt;0,IFERROR(FIND($C33, $B33,I33+1), ""),"")</f>
        <v/>
      </c>
      <c r="K33" s="1" t="str">
        <f t="shared" ref="K33" si="80">IF(I33&gt;0,IFERROR(FIND($C33, $B33,J33+1), ""),"")</f>
        <v/>
      </c>
      <c r="L33" s="1" t="str">
        <f t="shared" ref="L33" si="81">IF(J33&gt;0,IFERROR(FIND($C33, $B33,K33+1), ""),"")</f>
        <v/>
      </c>
      <c r="M33" s="1" t="str">
        <f t="shared" ref="M33" si="82">IF(K33&gt;0,IFERROR(FIND($C33, $B33,L33+1), ""),"")</f>
        <v/>
      </c>
    </row>
    <row r="34" spans="1:13" ht="62.25" customHeight="1" x14ac:dyDescent="0.4">
      <c r="A34" s="16"/>
      <c r="B34" s="18"/>
      <c r="C34" s="20"/>
      <c r="D34" s="13" t="str">
        <f>IFERROR(MID($B33,D33+ LEN($C33)+2,FIND(",",$B33,D33)-D33 - LEN($C33) -2 ), "")</f>
        <v/>
      </c>
      <c r="E34" s="7" t="str">
        <f>IFERROR(MID($B33,E33+ LEN($C33)+2,FIND(",",$B33,E33)-E33 - LEN($C33) -2 ), "")</f>
        <v/>
      </c>
      <c r="F34" s="7" t="str">
        <f>IFERROR(MID($B33,F33+ LEN($C33)+2,FIND(",",$B33,F33)-F33 - LEN($C33) -2 ), "")</f>
        <v/>
      </c>
      <c r="G34" s="7" t="str">
        <f>IFERROR(MID($B33,G33+ LEN($C33)+2,FIND(",",$B33,G33)-G33 - LEN($C33) -2 ), "")</f>
        <v/>
      </c>
      <c r="H34" s="7" t="str">
        <f t="shared" ref="H34:M34" si="83">IFERROR(MID($B33,H33+ LEN($C33)+2,FIND(",",$B33,H33)-H33 - LEN($C33) -2 ), "")</f>
        <v/>
      </c>
      <c r="I34" s="7" t="str">
        <f t="shared" si="83"/>
        <v/>
      </c>
      <c r="J34" s="7" t="str">
        <f t="shared" si="83"/>
        <v/>
      </c>
      <c r="K34" s="7" t="str">
        <f t="shared" si="83"/>
        <v/>
      </c>
      <c r="L34" s="7" t="str">
        <f t="shared" si="83"/>
        <v/>
      </c>
      <c r="M34" s="7" t="str">
        <f t="shared" si="83"/>
        <v/>
      </c>
    </row>
    <row r="35" spans="1:13" x14ac:dyDescent="0.4">
      <c r="B35" s="6" t="s">
        <v>39</v>
      </c>
      <c r="D35" s="6" t="s">
        <v>40</v>
      </c>
    </row>
    <row r="36" spans="1:13" ht="87" customHeight="1" x14ac:dyDescent="0.4">
      <c r="A36" s="15" t="s">
        <v>38</v>
      </c>
      <c r="B36" s="17" t="e">
        <f>cotohaDetectMisrecognition(A36,$B$3)</f>
        <v>#VALUE!</v>
      </c>
      <c r="C36" s="19" t="s">
        <v>3</v>
      </c>
      <c r="D36" s="1" t="str">
        <f>IFERROR(FIND($C36, $B36,FIND($C36,$B36)),"" )</f>
        <v/>
      </c>
      <c r="E36" s="1" t="str">
        <f t="shared" ref="E36" si="84">IF(C36&gt;0,IFERROR(FIND($C36, $B36,D36+1), ""),"")</f>
        <v/>
      </c>
      <c r="F36" s="1" t="str">
        <f t="shared" ref="F36" si="85">IF(D36&gt;0,IFERROR(FIND($C36, $B36,E36+1), ""),"")</f>
        <v/>
      </c>
      <c r="G36" s="1" t="str">
        <f t="shared" ref="G36" si="86">IF(E36&gt;0,IFERROR(FIND($C36, $B36,F36+1), ""),"")</f>
        <v/>
      </c>
      <c r="H36" s="1" t="str">
        <f t="shared" ref="H36" si="87">IF(F36&gt;0,IFERROR(FIND($C36, $B36,G36+1), ""),"")</f>
        <v/>
      </c>
      <c r="I36" s="1" t="str">
        <f t="shared" ref="I36" si="88">IF(G36&gt;0,IFERROR(FIND($C36, $B36,H36+1), ""),"")</f>
        <v/>
      </c>
      <c r="J36" s="1" t="str">
        <f t="shared" ref="J36" si="89">IF(H36&gt;0,IFERROR(FIND($C36, $B36,I36+1), ""),"")</f>
        <v/>
      </c>
      <c r="K36" s="1" t="str">
        <f t="shared" ref="K36" si="90">IF(I36&gt;0,IFERROR(FIND($C36, $B36,J36+1), ""),"")</f>
        <v/>
      </c>
      <c r="L36" s="1" t="str">
        <f t="shared" ref="L36" si="91">IF(J36&gt;0,IFERROR(FIND($C36, $B36,K36+1), ""),"")</f>
        <v/>
      </c>
      <c r="M36" s="1" t="str">
        <f t="shared" ref="M36" si="92">IF(K36&gt;0,IFERROR(FIND($C36, $B36,L36+1), ""),"")</f>
        <v/>
      </c>
    </row>
    <row r="37" spans="1:13" ht="62.25" customHeight="1" x14ac:dyDescent="0.4">
      <c r="A37" s="16"/>
      <c r="B37" s="18"/>
      <c r="C37" s="20"/>
      <c r="D37" s="13" t="str">
        <f>IFERROR(MID($B36,D36+ LEN($C36)+2,FIND(",",$B36,D36)-D36 - LEN($C36) -3 ), "")</f>
        <v/>
      </c>
      <c r="E37" s="13" t="str">
        <f t="shared" ref="E37:I37" si="93">IFERROR(MID($B36,E36+ LEN($C36)+2,FIND(",",$B36,E36)-E36 - LEN($C36) -3 ), "")</f>
        <v/>
      </c>
      <c r="F37" s="13" t="str">
        <f t="shared" si="93"/>
        <v/>
      </c>
      <c r="G37" s="13" t="str">
        <f t="shared" si="93"/>
        <v/>
      </c>
      <c r="H37" s="13" t="str">
        <f t="shared" si="93"/>
        <v/>
      </c>
      <c r="I37" s="13" t="str">
        <f t="shared" si="93"/>
        <v/>
      </c>
      <c r="J37" s="7" t="str">
        <f t="shared" ref="J37:M37" si="94">IFERROR(MID($B36,J36+ LEN($C36)+2,FIND(",",$B36,J36)-J36 - LEN($C36) -2 ), "")</f>
        <v/>
      </c>
      <c r="K37" s="7" t="str">
        <f t="shared" si="94"/>
        <v/>
      </c>
      <c r="L37" s="7" t="str">
        <f t="shared" si="94"/>
        <v/>
      </c>
      <c r="M37" s="7" t="str">
        <f t="shared" si="94"/>
        <v/>
      </c>
    </row>
  </sheetData>
  <mergeCells count="32">
    <mergeCell ref="A12:A13"/>
    <mergeCell ref="B12:B13"/>
    <mergeCell ref="C12:C13"/>
    <mergeCell ref="A6:A7"/>
    <mergeCell ref="B6:B7"/>
    <mergeCell ref="C6:C7"/>
    <mergeCell ref="A9:A10"/>
    <mergeCell ref="B9:B10"/>
    <mergeCell ref="C9:C10"/>
    <mergeCell ref="A15:A16"/>
    <mergeCell ref="B15:B16"/>
    <mergeCell ref="C15:C16"/>
    <mergeCell ref="A18:A19"/>
    <mergeCell ref="B18:B19"/>
    <mergeCell ref="C18:C19"/>
    <mergeCell ref="B21:B22"/>
    <mergeCell ref="C21:C22"/>
    <mergeCell ref="A24:A25"/>
    <mergeCell ref="B24:B25"/>
    <mergeCell ref="C24:C25"/>
    <mergeCell ref="A27:A28"/>
    <mergeCell ref="B27:B28"/>
    <mergeCell ref="C27:C28"/>
    <mergeCell ref="A30:A31"/>
    <mergeCell ref="B30:B31"/>
    <mergeCell ref="C30:C31"/>
    <mergeCell ref="A33:A34"/>
    <mergeCell ref="B33:B34"/>
    <mergeCell ref="C33:C34"/>
    <mergeCell ref="A36:A37"/>
    <mergeCell ref="B36:B37"/>
    <mergeCell ref="C36:C37"/>
  </mergeCells>
  <phoneticPr fontId="1"/>
  <pageMargins left="0.7" right="0.7" top="0.75" bottom="0.75" header="0.3" footer="0.3"/>
  <pageSetup paperSize="9" scale="38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BB9D112E1AB5D4C99F94B61B91DEB1F" ma:contentTypeVersion="11" ma:contentTypeDescription="新しいドキュメントを作成します。" ma:contentTypeScope="" ma:versionID="bcfa2403e7876e7c9bd0022f45d8c8a0">
  <xsd:schema xmlns:xsd="http://www.w3.org/2001/XMLSchema" xmlns:xs="http://www.w3.org/2001/XMLSchema" xmlns:p="http://schemas.microsoft.com/office/2006/metadata/properties" xmlns:ns3="360498c1-da4b-416f-b62d-201935a243eb" xmlns:ns4="fabe904c-2046-4415-9fd8-045d3e9d48a4" targetNamespace="http://schemas.microsoft.com/office/2006/metadata/properties" ma:root="true" ma:fieldsID="ed64bff0a8159e0d002ba150fe67b134" ns3:_="" ns4:_="">
    <xsd:import namespace="360498c1-da4b-416f-b62d-201935a243eb"/>
    <xsd:import namespace="fabe904c-2046-4415-9fd8-045d3e9d48a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0498c1-da4b-416f-b62d-201935a243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be904c-2046-4415-9fd8-045d3e9d48a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DA9C25B-A854-4EDC-862C-4EA692F1D158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360498c1-da4b-416f-b62d-201935a243eb"/>
    <ds:schemaRef ds:uri="fabe904c-2046-4415-9fd8-045d3e9d48a4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7814053-DF4A-4971-8136-B7442E22CB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D9A0C0-866B-4FF0-850C-A72F611680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0498c1-da4b-416f-b62d-201935a243eb"/>
    <ds:schemaRef ds:uri="fabe904c-2046-4415-9fd8-045d3e9d48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関数で簡単言語処理</vt:lpstr>
      <vt:lpstr>jsonから情報抽出する例</vt:lpstr>
      <vt:lpstr>jsonから情報抽出する例!Print_Area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林润芝</cp:lastModifiedBy>
  <dcterms:created xsi:type="dcterms:W3CDTF">2019-07-23T09:08:00Z</dcterms:created>
  <dcterms:modified xsi:type="dcterms:W3CDTF">2019-09-01T07:36:33Z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0x010100CBB9D112E1AB5D4C99F94B61B91DEB1F</vt:lpwstr>
  </property>
</Properties>
</file>